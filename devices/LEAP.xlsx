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6ar-my.sharepoint.com/personal/noah_bergman_red6ar_com/Documents/Documents/ParSalReg/devices/"/>
    </mc:Choice>
  </mc:AlternateContent>
  <xr:revisionPtr revIDLastSave="74" documentId="8_{DBB0162B-39E3-4548-A42C-6373585F76D3}" xr6:coauthVersionLast="47" xr6:coauthVersionMax="47" xr10:uidLastSave="{0CFBD304-DD02-4BB4-B3ED-91F59FF8E74D}"/>
  <bookViews>
    <workbookView minimized="1" xWindow="37755" yWindow="4290" windowWidth="14400" windowHeight="8175" xr2:uid="{F07084C4-0709-484B-A053-3894AFAD80FE}"/>
  </bookViews>
  <sheets>
    <sheet name="Sheet1" sheetId="2" r:id="rId1"/>
  </sheets>
  <definedNames>
    <definedName name="ExternalData_1" localSheetId="0" hidden="1">Sheet1!$B$1:$G$10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1EEEA3-42CB-481D-AA13-3DEB3C43D359}" keepAlive="1" name="Query - Table129 (Page 41-47)" description="Connection to the 'Table129 (Page 41-47)' query in the workbook." type="5" refreshedVersion="8" background="1" saveData="1">
    <dbPr connection="Provider=Microsoft.Mashup.OleDb.1;Data Source=$Workbook$;Location=&quot;Table129 (Page 41-47)&quot;;Extended Properties=&quot;&quot;" command="SELECT * FROM [Table129 (Page 41-47)]"/>
  </connection>
  <connection id="2" xr16:uid="{E9A9C2B4-BEFD-4459-A844-5CC8436A287C}" keepAlive="1" name="Query - Table129 (Page 41-47) (2)" description="Connection to the 'Table129 (Page 41-47) (2)' query in the workbook." type="5" refreshedVersion="8" background="1" saveData="1">
    <dbPr connection="Provider=Microsoft.Mashup.OleDb.1;Data Source=$Workbook$;Location=&quot;Table129 (Page 41-47) (2)&quot;;Extended Properties=&quot;&quot;" command="SELECT * FROM [Table129 (Page 41-47) (2)]"/>
  </connection>
  <connection id="3" xr16:uid="{24EBF933-4C29-44A0-9780-9F839F941237}" keepAlive="1" name="Query - Table129 (Page 41-47) (3)" description="Connection to the 'Table129 (Page 41-47) (3)' query in the workbook." type="5" refreshedVersion="8" background="1" saveData="1">
    <dbPr connection="Provider=Microsoft.Mashup.OleDb.1;Data Source=$Workbook$;Location=&quot;Table129 (Page 41-47) (3)&quot;;Extended Properties=&quot;&quot;" command="SELECT * FROM [Table129 (Page 41-47) (3)]"/>
  </connection>
</connections>
</file>

<file path=xl/sharedStrings.xml><?xml version="1.0" encoding="utf-8"?>
<sst xmlns="http://schemas.openxmlformats.org/spreadsheetml/2006/main" count="32" uniqueCount="26">
  <si>
    <t>name</t>
  </si>
  <si>
    <t>description</t>
  </si>
  <si>
    <t>default</t>
  </si>
  <si>
    <t>length</t>
  </si>
  <si>
    <t>slope</t>
  </si>
  <si>
    <t>offset</t>
  </si>
  <si>
    <t>signed</t>
  </si>
  <si>
    <t>units</t>
  </si>
  <si>
    <t>big</t>
  </si>
  <si>
    <t>format</t>
  </si>
  <si>
    <t>°C</t>
  </si>
  <si>
    <t>Device ID</t>
  </si>
  <si>
    <t>linear</t>
  </si>
  <si>
    <t>endian</t>
  </si>
  <si>
    <t>address</t>
  </si>
  <si>
    <t>dec</t>
  </si>
  <si>
    <t>Device Info</t>
  </si>
  <si>
    <t>Control</t>
  </si>
  <si>
    <t>Status</t>
  </si>
  <si>
    <t>Monitor</t>
  </si>
  <si>
    <t>Interrupt Mask</t>
  </si>
  <si>
    <t>Vendor Specific</t>
  </si>
  <si>
    <t>Password</t>
  </si>
  <si>
    <t>Upper Page Select</t>
  </si>
  <si>
    <t>page</t>
  </si>
  <si>
    <t>0x00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</si>
</sst>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F7F1EE-3CB6-4EAC-8E9C-98BB30AA35A6}" autoFormatId="16" applyNumberFormats="0" applyBorderFormats="0" applyFontFormats="0" applyPatternFormats="0" applyAlignmentFormats="0" applyWidthHeightFormats="0">
  <queryTableRefresh nextId="34" unboundColumnsRight="6">
    <queryTableFields count="12">
      <queryTableField id="1" name="PMBus COMMAND_x000a_NAME, OR FEATURE" tableColumnId="1"/>
      <queryTableField id="33" dataBound="0" tableColumnId="5"/>
      <queryTableField id="2" name="CMD CODE_x000a_(REGISTER)" tableColumnId="2"/>
      <queryTableField id="13" dataBound="0" tableColumnId="6"/>
      <queryTableField id="3" name="COMMAND OR FEATURE_x000a_DESCRIPTION" tableColumnId="3"/>
      <queryTableField id="4" name="NVM FACTORY-DEFAULT VALUE AND/OR ATTRIBUTES" tableColumnId="4"/>
      <queryTableField id="21" dataBound="0" tableColumnId="14"/>
      <queryTableField id="20" dataBound="0" tableColumnId="13"/>
      <queryTableField id="16" dataBound="0" tableColumnId="9"/>
      <queryTableField id="17" dataBound="0" tableColumnId="10"/>
      <queryTableField id="18" dataBound="0" tableColumnId="11"/>
      <queryTableField id="19" dataBound="0" tableColumnId="12"/>
    </queryTableFields>
    <queryTableDeletedFields count="1">
      <deletedField name="PAG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07C9E9-B6D8-4621-85FD-2E3DCAFC013F}" name="Table129__Page_41_47" displayName="Table129__Page_41_47" ref="B1:M10" tableType="queryTable" totalsRowShown="0">
  <autoFilter ref="B1:M10" xr:uid="{5907C9E9-B6D8-4621-85FD-2E3DCAFC013F}"/>
  <tableColumns count="12">
    <tableColumn id="1" xr3:uid="{5DC33D73-E61F-4C82-A5C0-ACD87F08DB97}" uniqueName="1" name="name" queryTableFieldId="1" dataDxfId="10"/>
    <tableColumn id="5" xr3:uid="{7BA0064D-C6D0-4EBF-94F4-88286C1A23B8}" uniqueName="5" name="page" queryTableFieldId="33"/>
    <tableColumn id="2" xr3:uid="{715EB877-6AA1-4608-A279-BD84B287AFCF}" uniqueName="2" name="address" queryTableFieldId="2" dataDxfId="9"/>
    <tableColumn id="6" xr3:uid="{4B9EEC8E-1875-42FC-B53E-F5B6E1C9BA08}" uniqueName="6" name="length" queryTableFieldId="13" dataDxfId="8"/>
    <tableColumn id="3" xr3:uid="{A31DCAA0-B957-4D14-8EC6-F53C7DD48379}" uniqueName="3" name="description" queryTableFieldId="3" dataDxfId="7"/>
    <tableColumn id="4" xr3:uid="{A8D5012D-2515-4889-9669-5117F31C6E11}" uniqueName="4" name="default" queryTableFieldId="4" dataDxfId="6"/>
    <tableColumn id="14" xr3:uid="{5AB833B5-4D2C-42AC-8875-1B25CCE7EDF1}" uniqueName="14" name="format" queryTableFieldId="21" dataDxfId="5"/>
    <tableColumn id="13" xr3:uid="{54082020-7816-4EE7-BA51-8D7A377C800C}" uniqueName="13" name="units" queryTableFieldId="20" dataDxfId="4"/>
    <tableColumn id="9" xr3:uid="{0E70CAB1-389F-4E52-A265-00F05A5273C2}" uniqueName="9" name="slope" queryTableFieldId="16" dataDxfId="3"/>
    <tableColumn id="10" xr3:uid="{E5EF6AEB-885F-4975-B810-EBA4A1C4C87A}" uniqueName="10" name="offset" queryTableFieldId="17" dataDxfId="2"/>
    <tableColumn id="11" xr3:uid="{F017CA0F-4BF3-4DFD-8A31-DEFF6AB62ECB}" uniqueName="11" name="endian" queryTableFieldId="18" dataDxfId="1"/>
    <tableColumn id="12" xr3:uid="{E1E20913-1462-422D-B07B-D507A7BA1406}" uniqueName="12" name="signed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C658-839D-4EB5-B336-98F7019FCD87}">
  <dimension ref="A1:M10"/>
  <sheetViews>
    <sheetView tabSelected="1" zoomScale="85" zoomScaleNormal="85" workbookViewId="0">
      <selection activeCell="A20" sqref="A20"/>
    </sheetView>
  </sheetViews>
  <sheetFormatPr defaultRowHeight="14.5" x14ac:dyDescent="0.35"/>
  <cols>
    <col min="2" max="2" width="14.453125" customWidth="1"/>
    <col min="3" max="3" width="13.81640625" customWidth="1"/>
    <col min="4" max="4" width="8.1796875" customWidth="1"/>
    <col min="8" max="8" width="15.54296875" customWidth="1"/>
    <col min="9" max="9" width="11" customWidth="1"/>
    <col min="11" max="11" width="13.453125" customWidth="1"/>
  </cols>
  <sheetData>
    <row r="1" spans="1:13" x14ac:dyDescent="0.35">
      <c r="A1" t="s">
        <v>15</v>
      </c>
      <c r="B1" t="s">
        <v>0</v>
      </c>
      <c r="C1" t="s">
        <v>24</v>
      </c>
      <c r="D1" t="s">
        <v>14</v>
      </c>
      <c r="E1" t="s">
        <v>3</v>
      </c>
      <c r="F1" t="s">
        <v>1</v>
      </c>
      <c r="G1" t="s">
        <v>2</v>
      </c>
      <c r="H1" t="s">
        <v>9</v>
      </c>
      <c r="I1" t="s">
        <v>7</v>
      </c>
      <c r="J1" t="s">
        <v>4</v>
      </c>
      <c r="K1" t="s">
        <v>5</v>
      </c>
      <c r="L1" t="s">
        <v>13</v>
      </c>
      <c r="M1" t="s">
        <v>6</v>
      </c>
    </row>
    <row r="2" spans="1:13" x14ac:dyDescent="0.35">
      <c r="A2">
        <v>0</v>
      </c>
      <c r="B2" t="s">
        <v>16</v>
      </c>
      <c r="C2">
        <v>0</v>
      </c>
      <c r="D2" t="s">
        <v>25</v>
      </c>
      <c r="E2">
        <v>7</v>
      </c>
      <c r="H2" t="s">
        <v>12</v>
      </c>
      <c r="I2" t="s">
        <v>10</v>
      </c>
      <c r="J2">
        <v>7.8125E-3</v>
      </c>
      <c r="K2">
        <v>0</v>
      </c>
      <c r="L2" t="s">
        <v>8</v>
      </c>
      <c r="M2" t="b">
        <v>1</v>
      </c>
    </row>
    <row r="3" spans="1:13" x14ac:dyDescent="0.35">
      <c r="A3">
        <v>7</v>
      </c>
      <c r="B3" t="s">
        <v>18</v>
      </c>
      <c r="C3">
        <v>0</v>
      </c>
      <c r="D3" t="str">
        <f t="shared" ref="D3:D10" si="0">"0x"&amp;DEC2HEX(A3,2)</f>
        <v>0x07</v>
      </c>
      <c r="E3">
        <v>15</v>
      </c>
    </row>
    <row r="4" spans="1:13" x14ac:dyDescent="0.35">
      <c r="A4">
        <v>22</v>
      </c>
      <c r="B4" t="s">
        <v>19</v>
      </c>
      <c r="C4">
        <v>0</v>
      </c>
      <c r="D4" t="str">
        <f t="shared" si="0"/>
        <v>0x16</v>
      </c>
      <c r="E4">
        <v>18</v>
      </c>
      <c r="H4" t="s">
        <v>12</v>
      </c>
      <c r="I4" t="s">
        <v>10</v>
      </c>
      <c r="J4">
        <v>7.8125E-3</v>
      </c>
      <c r="K4">
        <v>0</v>
      </c>
      <c r="L4" t="s">
        <v>8</v>
      </c>
      <c r="M4" t="b">
        <v>1</v>
      </c>
    </row>
    <row r="5" spans="1:13" x14ac:dyDescent="0.35">
      <c r="A5">
        <v>40</v>
      </c>
      <c r="B5" t="s">
        <v>17</v>
      </c>
      <c r="C5">
        <v>0</v>
      </c>
      <c r="D5" t="str">
        <f t="shared" si="0"/>
        <v>0x28</v>
      </c>
      <c r="E5">
        <v>45</v>
      </c>
    </row>
    <row r="6" spans="1:13" x14ac:dyDescent="0.35">
      <c r="A6">
        <v>95</v>
      </c>
      <c r="B6" t="s">
        <v>20</v>
      </c>
      <c r="C6">
        <v>0</v>
      </c>
      <c r="D6" t="str">
        <f t="shared" si="0"/>
        <v>0x5F</v>
      </c>
      <c r="E6">
        <v>15</v>
      </c>
    </row>
    <row r="7" spans="1:13" x14ac:dyDescent="0.35">
      <c r="A7">
        <v>110</v>
      </c>
      <c r="B7" t="s">
        <v>21</v>
      </c>
      <c r="C7">
        <v>0</v>
      </c>
      <c r="D7" t="str">
        <f t="shared" si="0"/>
        <v>0x6E</v>
      </c>
      <c r="E7">
        <v>9</v>
      </c>
    </row>
    <row r="8" spans="1:13" x14ac:dyDescent="0.35">
      <c r="A8">
        <v>119</v>
      </c>
      <c r="B8" t="s">
        <v>22</v>
      </c>
      <c r="C8">
        <v>0</v>
      </c>
      <c r="D8" t="str">
        <f t="shared" si="0"/>
        <v>0x77</v>
      </c>
      <c r="E8">
        <v>18</v>
      </c>
      <c r="H8" t="s">
        <v>12</v>
      </c>
      <c r="I8" t="s">
        <v>10</v>
      </c>
      <c r="J8">
        <v>7.8125E-3</v>
      </c>
      <c r="K8">
        <v>0</v>
      </c>
      <c r="L8" t="s">
        <v>8</v>
      </c>
      <c r="M8" t="b">
        <v>1</v>
      </c>
    </row>
    <row r="9" spans="1:13" x14ac:dyDescent="0.35">
      <c r="A9">
        <v>127</v>
      </c>
      <c r="B9" t="s">
        <v>23</v>
      </c>
      <c r="C9">
        <v>0</v>
      </c>
      <c r="D9" t="str">
        <f t="shared" si="0"/>
        <v>0x7F</v>
      </c>
      <c r="E9">
        <v>1</v>
      </c>
    </row>
    <row r="10" spans="1:13" x14ac:dyDescent="0.35">
      <c r="B10" t="s">
        <v>11</v>
      </c>
      <c r="C10">
        <v>0</v>
      </c>
      <c r="D10" t="str">
        <f t="shared" si="0"/>
        <v>0x00</v>
      </c>
      <c r="E10">
        <v>2</v>
      </c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90A0AD-7878-48DF-BFD6-3676A18247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Bergman</dc:creator>
  <cp:lastModifiedBy>Noah Bergman</cp:lastModifiedBy>
  <dcterms:created xsi:type="dcterms:W3CDTF">2025-10-10T18:41:12Z</dcterms:created>
  <dcterms:modified xsi:type="dcterms:W3CDTF">2025-11-06T05:14:16Z</dcterms:modified>
</cp:coreProperties>
</file>